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distribution" sheetId="1" state="visible" r:id="rId1"/>
    <sheet name="demographics_vs_diabetes" sheetId="2" state="visible" r:id="rId2"/>
    <sheet name="health_condition_vs_diabetes" sheetId="3" state="visible" r:id="rId3"/>
    <sheet name="lifestyle_vs_diabetes" sheetId="4" state="visible" r:id="rId4"/>
    <sheet name="healthcare_access_vs_diabetes" sheetId="5" state="visible" r:id="rId5"/>
    <sheet name="bmi_statistics" sheetId="6" state="visible" r:id="rId6"/>
    <sheet name="physical_mental_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Diabetes_binary</t>
        </is>
      </c>
      <c r="B1" t="inlineStr">
        <is>
          <t>Frequency</t>
        </is>
      </c>
      <c r="C1" t="inlineStr">
        <is>
          <t>Percentage</t>
        </is>
      </c>
    </row>
    <row r="2">
      <c r="A2" t="n">
        <v>0</v>
      </c>
      <c r="B2" t="n">
        <v>194377</v>
      </c>
      <c r="C2" t="n">
        <v>84.70999999999999</v>
      </c>
    </row>
    <row r="3">
      <c r="A3" t="n">
        <v>1</v>
      </c>
      <c r="B3" t="n">
        <v>35097</v>
      </c>
      <c r="C3" t="n">
        <v>15.29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>
        <f>== SEX VS DIABETES ===</f>
        <v/>
      </c>
    </row>
    <row r="2">
      <c r="A2" t="inlineStr">
        <is>
          <t>Sex</t>
        </is>
      </c>
      <c r="B2" t="inlineStr">
        <is>
          <t>Sex_Label</t>
        </is>
      </c>
      <c r="C2" t="inlineStr">
        <is>
          <t>Frequency</t>
        </is>
      </c>
      <c r="D2" t="inlineStr">
        <is>
          <t>Percentage</t>
        </is>
      </c>
      <c r="E2" t="inlineStr">
        <is>
          <t>DiabetesRate_Pct</t>
        </is>
      </c>
    </row>
    <row r="3">
      <c r="A3" t="n">
        <v>0</v>
      </c>
      <c r="B3" t="inlineStr">
        <is>
          <t>Female</t>
        </is>
      </c>
      <c r="C3" t="n">
        <v>128715</v>
      </c>
      <c r="D3" t="n">
        <v>56.09</v>
      </c>
      <c r="E3" t="n">
        <v>14.25</v>
      </c>
    </row>
    <row r="4">
      <c r="A4" t="n">
        <v>1</v>
      </c>
      <c r="B4" t="inlineStr">
        <is>
          <t>Male</t>
        </is>
      </c>
      <c r="C4" t="n">
        <v>100759</v>
      </c>
      <c r="D4" t="n">
        <v>43.91</v>
      </c>
      <c r="E4" t="n">
        <v>16.63</v>
      </c>
    </row>
    <row r="7">
      <c r="A7">
        <f>== AGE VS DIABETES ===</f>
        <v/>
      </c>
    </row>
    <row r="8">
      <c r="A8" t="inlineStr">
        <is>
          <t>Age</t>
        </is>
      </c>
      <c r="B8" t="inlineStr">
        <is>
          <t>Age_Range</t>
        </is>
      </c>
      <c r="C8" t="inlineStr">
        <is>
          <t>Frequency</t>
        </is>
      </c>
      <c r="D8" t="inlineStr">
        <is>
          <t>Percentage</t>
        </is>
      </c>
      <c r="E8" t="inlineStr">
        <is>
          <t>DiabetesRate_Pct</t>
        </is>
      </c>
    </row>
    <row r="9">
      <c r="A9" t="n">
        <v>1</v>
      </c>
      <c r="B9" t="inlineStr">
        <is>
          <t>18-24</t>
        </is>
      </c>
      <c r="C9" t="n">
        <v>5511</v>
      </c>
      <c r="D9" t="n">
        <v>2.4</v>
      </c>
      <c r="E9" t="n">
        <v>1.42</v>
      </c>
    </row>
    <row r="10">
      <c r="A10" t="n">
        <v>2</v>
      </c>
      <c r="B10" t="inlineStr">
        <is>
          <t>25-29</t>
        </is>
      </c>
      <c r="C10" t="n">
        <v>7064</v>
      </c>
      <c r="D10" t="n">
        <v>3.08</v>
      </c>
      <c r="E10" t="n">
        <v>1.98</v>
      </c>
    </row>
    <row r="11">
      <c r="A11" t="n">
        <v>3</v>
      </c>
      <c r="B11" t="inlineStr">
        <is>
          <t>30-34</t>
        </is>
      </c>
      <c r="C11" t="n">
        <v>10023</v>
      </c>
      <c r="D11" t="n">
        <v>4.37</v>
      </c>
      <c r="E11" t="n">
        <v>3.13</v>
      </c>
    </row>
    <row r="12">
      <c r="A12" t="n">
        <v>4</v>
      </c>
      <c r="B12" t="inlineStr">
        <is>
          <t>35-39</t>
        </is>
      </c>
      <c r="C12" t="n">
        <v>12229</v>
      </c>
      <c r="D12" t="n">
        <v>5.33</v>
      </c>
      <c r="E12" t="n">
        <v>5.11</v>
      </c>
    </row>
    <row r="13">
      <c r="A13" t="n">
        <v>5</v>
      </c>
      <c r="B13" t="inlineStr">
        <is>
          <t>40-44</t>
        </is>
      </c>
      <c r="C13" t="n">
        <v>14040</v>
      </c>
      <c r="D13" t="n">
        <v>6.12</v>
      </c>
      <c r="E13" t="n">
        <v>7.47</v>
      </c>
    </row>
    <row r="14">
      <c r="A14" t="n">
        <v>6</v>
      </c>
      <c r="B14" t="inlineStr">
        <is>
          <t>45-49</t>
        </is>
      </c>
      <c r="C14" t="n">
        <v>17280</v>
      </c>
      <c r="D14" t="n">
        <v>7.53</v>
      </c>
      <c r="E14" t="n">
        <v>10.08</v>
      </c>
    </row>
    <row r="15">
      <c r="A15" t="n">
        <v>7</v>
      </c>
      <c r="B15" t="inlineStr">
        <is>
          <t>50-54</t>
        </is>
      </c>
      <c r="C15" t="n">
        <v>23121</v>
      </c>
      <c r="D15" t="n">
        <v>10.08</v>
      </c>
      <c r="E15" t="n">
        <v>13.29</v>
      </c>
    </row>
    <row r="16">
      <c r="A16" t="n">
        <v>8</v>
      </c>
      <c r="B16" t="inlineStr">
        <is>
          <t>55-59</t>
        </is>
      </c>
      <c r="C16" t="n">
        <v>27272</v>
      </c>
      <c r="D16" t="n">
        <v>11.88</v>
      </c>
      <c r="E16" t="n">
        <v>15.55</v>
      </c>
    </row>
    <row r="17">
      <c r="A17" t="n">
        <v>9</v>
      </c>
      <c r="B17" t="inlineStr">
        <is>
          <t>60-64</t>
        </is>
      </c>
      <c r="C17" t="n">
        <v>29678</v>
      </c>
      <c r="D17" t="n">
        <v>12.93</v>
      </c>
      <c r="E17" t="n">
        <v>19.14</v>
      </c>
    </row>
    <row r="18">
      <c r="A18" t="n">
        <v>10</v>
      </c>
      <c r="B18" t="inlineStr">
        <is>
          <t>65-69</t>
        </is>
      </c>
      <c r="C18" t="n">
        <v>29093</v>
      </c>
      <c r="D18" t="n">
        <v>12.68</v>
      </c>
      <c r="E18" t="n">
        <v>22.28</v>
      </c>
    </row>
    <row r="19">
      <c r="A19" t="n">
        <v>11</v>
      </c>
      <c r="B19" t="inlineStr">
        <is>
          <t>70-74</t>
        </is>
      </c>
      <c r="C19" t="n">
        <v>21993</v>
      </c>
      <c r="D19" t="n">
        <v>9.58</v>
      </c>
      <c r="E19" t="n">
        <v>23.14</v>
      </c>
    </row>
    <row r="20">
      <c r="A20" t="n">
        <v>12</v>
      </c>
      <c r="B20" t="inlineStr">
        <is>
          <t>75-79</t>
        </is>
      </c>
      <c r="C20" t="n">
        <v>15379</v>
      </c>
      <c r="D20" t="n">
        <v>6.7</v>
      </c>
      <c r="E20" t="n">
        <v>22</v>
      </c>
    </row>
    <row r="21">
      <c r="A21" t="n">
        <v>13</v>
      </c>
      <c r="B21" t="inlineStr">
        <is>
          <t>80+</t>
        </is>
      </c>
      <c r="C21" t="n">
        <v>16791</v>
      </c>
      <c r="D21" t="n">
        <v>7.32</v>
      </c>
      <c r="E21" t="n">
        <v>19.06</v>
      </c>
    </row>
    <row r="24">
      <c r="A24">
        <f>== EDUCATION VS DIABETES ===</f>
        <v/>
      </c>
    </row>
    <row r="25">
      <c r="A25" t="inlineStr">
        <is>
          <t>Education</t>
        </is>
      </c>
      <c r="B25" t="inlineStr">
        <is>
          <t>Education_Label</t>
        </is>
      </c>
      <c r="C25" t="inlineStr">
        <is>
          <t>Frequency</t>
        </is>
      </c>
      <c r="D25" t="inlineStr">
        <is>
          <t>Percentage</t>
        </is>
      </c>
      <c r="E25" t="inlineStr">
        <is>
          <t>DiabetesRate_Pct</t>
        </is>
      </c>
    </row>
    <row r="26">
      <c r="A26" t="n">
        <v>1</v>
      </c>
      <c r="B26" t="inlineStr">
        <is>
          <t>Never attended/Kindergarten</t>
        </is>
      </c>
      <c r="C26" t="n">
        <v>174</v>
      </c>
      <c r="D26" t="n">
        <v>0.08</v>
      </c>
      <c r="E26" t="n">
        <v>27.01</v>
      </c>
    </row>
    <row r="27">
      <c r="A27" t="n">
        <v>2</v>
      </c>
      <c r="B27" t="inlineStr">
        <is>
          <t>Elementary (1-8)</t>
        </is>
      </c>
      <c r="C27" t="n">
        <v>4040</v>
      </c>
      <c r="D27" t="n">
        <v>1.76</v>
      </c>
      <c r="E27" t="n">
        <v>29.28</v>
      </c>
    </row>
    <row r="28">
      <c r="A28" t="n">
        <v>3</v>
      </c>
      <c r="B28" t="inlineStr">
        <is>
          <t>Some High School</t>
        </is>
      </c>
      <c r="C28" t="n">
        <v>9467</v>
      </c>
      <c r="D28" t="n">
        <v>4.13</v>
      </c>
      <c r="E28" t="n">
        <v>24.25</v>
      </c>
    </row>
    <row r="29">
      <c r="A29" t="n">
        <v>4</v>
      </c>
      <c r="B29" t="inlineStr">
        <is>
          <t>High School Graduate</t>
        </is>
      </c>
      <c r="C29" t="n">
        <v>61124</v>
      </c>
      <c r="D29" t="n">
        <v>26.64</v>
      </c>
      <c r="E29" t="n">
        <v>18.05</v>
      </c>
    </row>
    <row r="30">
      <c r="A30" t="n">
        <v>5</v>
      </c>
      <c r="B30" t="inlineStr">
        <is>
          <t>Some College</t>
        </is>
      </c>
      <c r="C30" t="n">
        <v>66444</v>
      </c>
      <c r="D30" t="n">
        <v>28.95</v>
      </c>
      <c r="E30" t="n">
        <v>15.52</v>
      </c>
    </row>
    <row r="31">
      <c r="A31" t="n">
        <v>6</v>
      </c>
      <c r="B31" t="inlineStr">
        <is>
          <t>College Graduate+</t>
        </is>
      </c>
      <c r="C31" t="n">
        <v>88225</v>
      </c>
      <c r="D31" t="n">
        <v>38.45</v>
      </c>
      <c r="E31" t="n">
        <v>11.59</v>
      </c>
    </row>
    <row r="34">
      <c r="A34">
        <f>== INCOME VS DIABETES ===</f>
        <v/>
      </c>
    </row>
    <row r="35">
      <c r="A35" t="inlineStr">
        <is>
          <t>Income</t>
        </is>
      </c>
      <c r="B35" t="inlineStr">
        <is>
          <t>Income_Range</t>
        </is>
      </c>
      <c r="C35" t="inlineStr">
        <is>
          <t>Frequency</t>
        </is>
      </c>
      <c r="D35" t="inlineStr">
        <is>
          <t>Percentage</t>
        </is>
      </c>
      <c r="E35" t="inlineStr">
        <is>
          <t>DiabetesRate_Pct</t>
        </is>
      </c>
    </row>
    <row r="36">
      <c r="A36" t="n">
        <v>1</v>
      </c>
      <c r="B36" t="inlineStr">
        <is>
          <t>&lt; $10k</t>
        </is>
      </c>
      <c r="C36" t="n">
        <v>9791</v>
      </c>
      <c r="D36" t="n">
        <v>4.27</v>
      </c>
      <c r="E36" t="n">
        <v>24.34</v>
      </c>
    </row>
    <row r="37">
      <c r="A37" t="n">
        <v>2</v>
      </c>
      <c r="B37" t="inlineStr">
        <is>
          <t>$10k-$15k</t>
        </is>
      </c>
      <c r="C37" t="n">
        <v>11756</v>
      </c>
      <c r="D37" t="n">
        <v>5.12</v>
      </c>
      <c r="E37" t="n">
        <v>26.25</v>
      </c>
    </row>
    <row r="38">
      <c r="A38" t="n">
        <v>3</v>
      </c>
      <c r="B38" t="inlineStr">
        <is>
          <t>$15k-$20k</t>
        </is>
      </c>
      <c r="C38" t="n">
        <v>15920</v>
      </c>
      <c r="D38" t="n">
        <v>6.94</v>
      </c>
      <c r="E38" t="n">
        <v>22.39</v>
      </c>
    </row>
    <row r="39">
      <c r="A39" t="n">
        <v>4</v>
      </c>
      <c r="B39" t="inlineStr">
        <is>
          <t>$20k-$25k</t>
        </is>
      </c>
      <c r="C39" t="n">
        <v>19953</v>
      </c>
      <c r="D39" t="n">
        <v>8.699999999999999</v>
      </c>
      <c r="E39" t="n">
        <v>20.28</v>
      </c>
    </row>
    <row r="40">
      <c r="A40" t="n">
        <v>5</v>
      </c>
      <c r="B40" t="inlineStr">
        <is>
          <t>$25k-$35k</t>
        </is>
      </c>
      <c r="C40" t="n">
        <v>25326</v>
      </c>
      <c r="D40" t="n">
        <v>11.04</v>
      </c>
      <c r="E40" t="n">
        <v>17.72</v>
      </c>
    </row>
    <row r="41">
      <c r="A41" t="n">
        <v>6</v>
      </c>
      <c r="B41" t="inlineStr">
        <is>
          <t>$35k-$50k</t>
        </is>
      </c>
      <c r="C41" t="n">
        <v>34957</v>
      </c>
      <c r="D41" t="n">
        <v>15.23</v>
      </c>
      <c r="E41" t="n">
        <v>15.05</v>
      </c>
    </row>
    <row r="42">
      <c r="A42" t="n">
        <v>7</v>
      </c>
      <c r="B42" t="inlineStr">
        <is>
          <t>$50k-$75k</t>
        </is>
      </c>
      <c r="C42" t="n">
        <v>40131</v>
      </c>
      <c r="D42" t="n">
        <v>17.49</v>
      </c>
      <c r="E42" t="n">
        <v>13.02</v>
      </c>
    </row>
    <row r="43">
      <c r="A43" t="n">
        <v>8</v>
      </c>
      <c r="B43" t="inlineStr">
        <is>
          <t>&gt;= $75k</t>
        </is>
      </c>
      <c r="C43" t="n">
        <v>71640</v>
      </c>
      <c r="D43" t="n">
        <v>31.22</v>
      </c>
      <c r="E43" t="n">
        <v>9.83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>
        <f>== HIGH BLOOD PRESSURE VS DIABETES ===</f>
        <v/>
      </c>
    </row>
    <row r="2">
      <c r="A2" t="inlineStr">
        <is>
          <t>HighBP</t>
        </is>
      </c>
      <c r="B2" t="inlineStr">
        <is>
          <t>HighBP_Label</t>
        </is>
      </c>
      <c r="C2" t="inlineStr">
        <is>
          <t>Frequency</t>
        </is>
      </c>
      <c r="D2" t="inlineStr">
        <is>
          <t>Percentage</t>
        </is>
      </c>
      <c r="E2" t="inlineStr">
        <is>
          <t>DiabetesRate_Pct</t>
        </is>
      </c>
    </row>
    <row r="3">
      <c r="A3" t="n">
        <v>0</v>
      </c>
      <c r="B3" t="inlineStr">
        <is>
          <t>No High BP</t>
        </is>
      </c>
      <c r="C3" t="n">
        <v>125214</v>
      </c>
      <c r="D3" t="n">
        <v>54.57</v>
      </c>
      <c r="E3" t="n">
        <v>6.94</v>
      </c>
    </row>
    <row r="4">
      <c r="A4" t="n">
        <v>1</v>
      </c>
      <c r="B4" t="inlineStr">
        <is>
          <t>High BP</t>
        </is>
      </c>
      <c r="C4" t="n">
        <v>104260</v>
      </c>
      <c r="D4" t="n">
        <v>45.43</v>
      </c>
      <c r="E4" t="n">
        <v>25.33</v>
      </c>
    </row>
    <row r="7">
      <c r="A7">
        <f>== HIGH CHOLESTEROL VS DIABETES ===</f>
        <v/>
      </c>
    </row>
    <row r="8">
      <c r="A8" t="inlineStr">
        <is>
          <t>HighChol</t>
        </is>
      </c>
      <c r="B8" t="inlineStr">
        <is>
          <t>HighChol_Label</t>
        </is>
      </c>
      <c r="C8" t="inlineStr">
        <is>
          <t>Frequency</t>
        </is>
      </c>
      <c r="D8" t="inlineStr">
        <is>
          <t>Percentage</t>
        </is>
      </c>
      <c r="E8" t="inlineStr">
        <is>
          <t>DiabetesRate_Pct</t>
        </is>
      </c>
    </row>
    <row r="9">
      <c r="A9" t="n">
        <v>0</v>
      </c>
      <c r="B9" t="inlineStr">
        <is>
          <t>No High Chol</t>
        </is>
      </c>
      <c r="C9" t="n">
        <v>128129</v>
      </c>
      <c r="D9" t="n">
        <v>55.84</v>
      </c>
      <c r="E9" t="n">
        <v>9.050000000000001</v>
      </c>
    </row>
    <row r="10">
      <c r="A10" t="n">
        <v>1</v>
      </c>
      <c r="B10" t="inlineStr">
        <is>
          <t>High Chol</t>
        </is>
      </c>
      <c r="C10" t="n">
        <v>101345</v>
      </c>
      <c r="D10" t="n">
        <v>44.16</v>
      </c>
      <c r="E10" t="n">
        <v>23.18</v>
      </c>
    </row>
    <row r="13">
      <c r="A13">
        <f>== HEART DISEASE OR ATTACK VS DIABETES ===</f>
        <v/>
      </c>
    </row>
    <row r="14">
      <c r="A14" t="inlineStr">
        <is>
          <t>HeartDiseaseorAttack</t>
        </is>
      </c>
      <c r="B14" t="inlineStr">
        <is>
          <t>HeartDisease_Label</t>
        </is>
      </c>
      <c r="C14" t="inlineStr">
        <is>
          <t>Frequency</t>
        </is>
      </c>
      <c r="D14" t="inlineStr">
        <is>
          <t>Percentage</t>
        </is>
      </c>
      <c r="E14" t="inlineStr">
        <is>
          <t>DiabetesRate_Pct</t>
        </is>
      </c>
    </row>
    <row r="15">
      <c r="A15" t="n">
        <v>0</v>
      </c>
      <c r="B15" t="inlineStr">
        <is>
          <t>No Heart Disease</t>
        </is>
      </c>
      <c r="C15" t="n">
        <v>205761</v>
      </c>
      <c r="D15" t="n">
        <v>89.67</v>
      </c>
      <c r="E15" t="n">
        <v>13.24</v>
      </c>
    </row>
    <row r="16">
      <c r="A16" t="n">
        <v>1</v>
      </c>
      <c r="B16" t="inlineStr">
        <is>
          <t>Heart Disease</t>
        </is>
      </c>
      <c r="C16" t="n">
        <v>23713</v>
      </c>
      <c r="D16" t="n">
        <v>10.33</v>
      </c>
      <c r="E16" t="n">
        <v>33.13</v>
      </c>
    </row>
    <row r="19">
      <c r="A19">
        <f>== STROKE VS DIABETES ===</f>
        <v/>
      </c>
    </row>
    <row r="20">
      <c r="A20" t="inlineStr">
        <is>
          <t>Stroke</t>
        </is>
      </c>
      <c r="B20" t="inlineStr">
        <is>
          <t>Stroke_Label</t>
        </is>
      </c>
      <c r="C20" t="inlineStr">
        <is>
          <t>Frequency</t>
        </is>
      </c>
      <c r="D20" t="inlineStr">
        <is>
          <t>Percentage</t>
        </is>
      </c>
      <c r="E20" t="inlineStr">
        <is>
          <t>DiabetesRate_Pct</t>
        </is>
      </c>
    </row>
    <row r="21">
      <c r="A21" t="n">
        <v>0</v>
      </c>
      <c r="B21" t="inlineStr">
        <is>
          <t>No Stroke History</t>
        </is>
      </c>
      <c r="C21" t="n">
        <v>219190</v>
      </c>
      <c r="D21" t="n">
        <v>95.52</v>
      </c>
      <c r="E21" t="n">
        <v>14.52</v>
      </c>
    </row>
    <row r="22">
      <c r="A22" t="n">
        <v>1</v>
      </c>
      <c r="B22" t="inlineStr">
        <is>
          <t>Stroke History</t>
        </is>
      </c>
      <c r="C22" t="n">
        <v>10284</v>
      </c>
      <c r="D22" t="n">
        <v>4.48</v>
      </c>
      <c r="E22" t="n">
        <v>31.78</v>
      </c>
    </row>
    <row r="25">
      <c r="A25">
        <f>== GENERAL HEALTH VS DIABETES ===</f>
        <v/>
      </c>
    </row>
    <row r="26">
      <c r="A26" t="inlineStr">
        <is>
          <t>GenHlth</t>
        </is>
      </c>
      <c r="B26" t="inlineStr">
        <is>
          <t>GenHlth_Label</t>
        </is>
      </c>
      <c r="C26" t="inlineStr">
        <is>
          <t>Frequency</t>
        </is>
      </c>
      <c r="D26" t="inlineStr">
        <is>
          <t>Percentage</t>
        </is>
      </c>
      <c r="E26" t="inlineStr">
        <is>
          <t>DiabetesRate_Pct</t>
        </is>
      </c>
    </row>
    <row r="27">
      <c r="A27" t="n">
        <v>1</v>
      </c>
      <c r="B27" t="inlineStr">
        <is>
          <t>Excellent</t>
        </is>
      </c>
      <c r="C27" t="n">
        <v>34854</v>
      </c>
      <c r="D27" t="n">
        <v>15.19</v>
      </c>
      <c r="E27" t="n">
        <v>3.26</v>
      </c>
    </row>
    <row r="28">
      <c r="A28" t="n">
        <v>2</v>
      </c>
      <c r="B28" t="inlineStr">
        <is>
          <t>Very Good</t>
        </is>
      </c>
      <c r="C28" t="n">
        <v>77365</v>
      </c>
      <c r="D28" t="n">
        <v>33.71</v>
      </c>
      <c r="E28" t="n">
        <v>8.119999999999999</v>
      </c>
    </row>
    <row r="29">
      <c r="A29" t="n">
        <v>3</v>
      </c>
      <c r="B29" t="inlineStr">
        <is>
          <t>Good</t>
        </is>
      </c>
      <c r="C29" t="n">
        <v>73632</v>
      </c>
      <c r="D29" t="n">
        <v>32.09</v>
      </c>
      <c r="E29" t="n">
        <v>18.1</v>
      </c>
    </row>
    <row r="30">
      <c r="A30" t="n">
        <v>4</v>
      </c>
      <c r="B30" t="inlineStr">
        <is>
          <t>Fair</t>
        </is>
      </c>
      <c r="C30" t="n">
        <v>31545</v>
      </c>
      <c r="D30" t="n">
        <v>13.75</v>
      </c>
      <c r="E30" t="n">
        <v>31.01</v>
      </c>
    </row>
    <row r="31">
      <c r="A31" t="n">
        <v>5</v>
      </c>
      <c r="B31" t="inlineStr">
        <is>
          <t>Poor</t>
        </is>
      </c>
      <c r="C31" t="n">
        <v>12078</v>
      </c>
      <c r="D31" t="n">
        <v>5.26</v>
      </c>
      <c r="E31" t="n">
        <v>37.9</v>
      </c>
    </row>
    <row r="34">
      <c r="A34">
        <f>== DIFFICULTY WALKING VS DIABETES ===</f>
        <v/>
      </c>
    </row>
    <row r="35">
      <c r="A35" t="inlineStr">
        <is>
          <t>DiffWalk</t>
        </is>
      </c>
      <c r="B35" t="inlineStr">
        <is>
          <t>DiffWalk_Label</t>
        </is>
      </c>
      <c r="C35" t="inlineStr">
        <is>
          <t>Frequency</t>
        </is>
      </c>
      <c r="D35" t="inlineStr">
        <is>
          <t>Percentage</t>
        </is>
      </c>
      <c r="E35" t="inlineStr">
        <is>
          <t>DiabetesRate_Pct</t>
        </is>
      </c>
    </row>
    <row r="36">
      <c r="A36" t="n">
        <v>0</v>
      </c>
      <c r="B36" t="inlineStr">
        <is>
          <t>No Diff Walking</t>
        </is>
      </c>
      <c r="C36" t="n">
        <v>186849</v>
      </c>
      <c r="D36" t="n">
        <v>81.42</v>
      </c>
      <c r="E36" t="n">
        <v>11.77</v>
      </c>
    </row>
    <row r="37">
      <c r="A37" t="n">
        <v>1</v>
      </c>
      <c r="B37" t="inlineStr">
        <is>
          <t>Diff Walking</t>
        </is>
      </c>
      <c r="C37" t="n">
        <v>42625</v>
      </c>
      <c r="D37" t="n">
        <v>18.58</v>
      </c>
      <c r="E37" t="n">
        <v>30.77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>
        <f>== SMOKING STATUS VS DIABETES ===</f>
        <v/>
      </c>
    </row>
    <row r="2">
      <c r="A2" t="inlineStr">
        <is>
          <t>Smoker</t>
        </is>
      </c>
      <c r="B2" t="inlineStr">
        <is>
          <t>Smoker_Label</t>
        </is>
      </c>
      <c r="C2" t="inlineStr">
        <is>
          <t>Frequency</t>
        </is>
      </c>
      <c r="D2" t="inlineStr">
        <is>
          <t>Percentage</t>
        </is>
      </c>
      <c r="E2" t="inlineStr">
        <is>
          <t>DiabetesRate_Pct</t>
        </is>
      </c>
    </row>
    <row r="3">
      <c r="A3" t="n">
        <v>0</v>
      </c>
      <c r="B3" t="inlineStr">
        <is>
          <t>Non-Smoker</t>
        </is>
      </c>
      <c r="C3" t="n">
        <v>122585</v>
      </c>
      <c r="D3" t="n">
        <v>53.42</v>
      </c>
      <c r="E3" t="n">
        <v>13.77</v>
      </c>
    </row>
    <row r="4">
      <c r="A4" t="n">
        <v>1</v>
      </c>
      <c r="B4" t="inlineStr">
        <is>
          <t>Smoker</t>
        </is>
      </c>
      <c r="C4" t="n">
        <v>106889</v>
      </c>
      <c r="D4" t="n">
        <v>46.58</v>
      </c>
      <c r="E4" t="n">
        <v>17.05</v>
      </c>
    </row>
    <row r="7">
      <c r="A7">
        <f>== PHYSICAL ACTIVITY VS DIABETES ===</f>
        <v/>
      </c>
    </row>
    <row r="8">
      <c r="A8" t="inlineStr">
        <is>
          <t>PhysActivity</t>
        </is>
      </c>
      <c r="B8" t="inlineStr">
        <is>
          <t>PhysActivity_Label</t>
        </is>
      </c>
      <c r="C8" t="inlineStr">
        <is>
          <t>Frequency</t>
        </is>
      </c>
      <c r="D8" t="inlineStr">
        <is>
          <t>Percentage</t>
        </is>
      </c>
      <c r="E8" t="inlineStr">
        <is>
          <t>DiabetesRate_Pct</t>
        </is>
      </c>
    </row>
    <row r="9">
      <c r="A9" t="n">
        <v>0</v>
      </c>
      <c r="B9" t="inlineStr">
        <is>
          <t>Inactive</t>
        </is>
      </c>
      <c r="C9" t="n">
        <v>61260</v>
      </c>
      <c r="D9" t="n">
        <v>26.7</v>
      </c>
      <c r="E9" t="n">
        <v>21.28</v>
      </c>
    </row>
    <row r="10">
      <c r="A10" t="n">
        <v>1</v>
      </c>
      <c r="B10" t="inlineStr">
        <is>
          <t>Active</t>
        </is>
      </c>
      <c r="C10" t="n">
        <v>168214</v>
      </c>
      <c r="D10" t="n">
        <v>73.3</v>
      </c>
      <c r="E10" t="n">
        <v>13.11</v>
      </c>
    </row>
    <row r="13">
      <c r="A13">
        <f>== FRUIT CONSUMPTION VS DIABETES ===</f>
        <v/>
      </c>
    </row>
    <row r="14">
      <c r="A14" t="inlineStr">
        <is>
          <t>Fruits</t>
        </is>
      </c>
      <c r="B14" t="inlineStr">
        <is>
          <t>Fruits_Label</t>
        </is>
      </c>
      <c r="C14" t="inlineStr">
        <is>
          <t>Frequency</t>
        </is>
      </c>
      <c r="D14" t="inlineStr">
        <is>
          <t>Percentage</t>
        </is>
      </c>
      <c r="E14" t="inlineStr">
        <is>
          <t>DiabetesRate_Pct</t>
        </is>
      </c>
    </row>
    <row r="15">
      <c r="A15" t="n">
        <v>0</v>
      </c>
      <c r="B15" t="inlineStr">
        <is>
          <t>No Daily Fruit</t>
        </is>
      </c>
      <c r="C15" t="n">
        <v>88881</v>
      </c>
      <c r="D15" t="n">
        <v>38.73</v>
      </c>
      <c r="E15" t="n">
        <v>16.42</v>
      </c>
    </row>
    <row r="16">
      <c r="A16" t="n">
        <v>1</v>
      </c>
      <c r="B16" t="inlineStr">
        <is>
          <t>Daily Fruit</t>
        </is>
      </c>
      <c r="C16" t="n">
        <v>140593</v>
      </c>
      <c r="D16" t="n">
        <v>61.27</v>
      </c>
      <c r="E16" t="n">
        <v>14.58</v>
      </c>
    </row>
    <row r="19">
      <c r="A19">
        <f>== VEGETABLE CONSUMPTION VS DIABETES ===</f>
        <v/>
      </c>
    </row>
    <row r="20">
      <c r="A20" t="inlineStr">
        <is>
          <t>Veggies</t>
        </is>
      </c>
      <c r="B20" t="inlineStr">
        <is>
          <t>Veggies_Label</t>
        </is>
      </c>
      <c r="C20" t="inlineStr">
        <is>
          <t>Frequency</t>
        </is>
      </c>
      <c r="D20" t="inlineStr">
        <is>
          <t>Percentage</t>
        </is>
      </c>
      <c r="E20" t="inlineStr">
        <is>
          <t>DiabetesRate_Pct</t>
        </is>
      </c>
    </row>
    <row r="21">
      <c r="A21" t="n">
        <v>0</v>
      </c>
      <c r="B21" t="inlineStr">
        <is>
          <t>No Daily Veggies</t>
        </is>
      </c>
      <c r="C21" t="n">
        <v>47137</v>
      </c>
      <c r="D21" t="n">
        <v>20.54</v>
      </c>
      <c r="E21" t="n">
        <v>18.25</v>
      </c>
    </row>
    <row r="22">
      <c r="A22" t="n">
        <v>1</v>
      </c>
      <c r="B22" t="inlineStr">
        <is>
          <t>Daily Veggies</t>
        </is>
      </c>
      <c r="C22" t="n">
        <v>182337</v>
      </c>
      <c r="D22" t="n">
        <v>79.45999999999999</v>
      </c>
      <c r="E22" t="n">
        <v>14.53</v>
      </c>
    </row>
    <row r="25">
      <c r="A25">
        <f>== HEAVY ALCOHOL CONSUMPTION VS DIABETES ===</f>
        <v/>
      </c>
    </row>
    <row r="26">
      <c r="A26" t="inlineStr">
        <is>
          <t>HvyAlcoholConsump</t>
        </is>
      </c>
      <c r="B26" t="inlineStr">
        <is>
          <t>Alcohol_Label</t>
        </is>
      </c>
      <c r="C26" t="inlineStr">
        <is>
          <t>Frequency</t>
        </is>
      </c>
      <c r="D26" t="inlineStr">
        <is>
          <t>Percentage</t>
        </is>
      </c>
      <c r="E26" t="inlineStr">
        <is>
          <t>DiabetesRate_Pct</t>
        </is>
      </c>
    </row>
    <row r="27">
      <c r="A27" t="n">
        <v>0</v>
      </c>
      <c r="B27" t="inlineStr">
        <is>
          <t>No Heavy Drinking</t>
        </is>
      </c>
      <c r="C27" t="n">
        <v>215524</v>
      </c>
      <c r="D27" t="n">
        <v>93.92</v>
      </c>
      <c r="E27" t="n">
        <v>15.9</v>
      </c>
    </row>
    <row r="28">
      <c r="A28" t="n">
        <v>1</v>
      </c>
      <c r="B28" t="inlineStr">
        <is>
          <t>Heavy Drinking</t>
        </is>
      </c>
      <c r="C28" t="n">
        <v>13950</v>
      </c>
      <c r="D28" t="n">
        <v>6.08</v>
      </c>
      <c r="E28" t="n">
        <v>5.96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>
        <f>== HEALTHCARE COVERAGE VS DIABETES ===</f>
        <v/>
      </c>
    </row>
    <row r="2">
      <c r="A2" t="inlineStr">
        <is>
          <t>AnyHealthcare</t>
        </is>
      </c>
      <c r="B2" t="inlineStr">
        <is>
          <t>Healthcare_Label</t>
        </is>
      </c>
      <c r="C2" t="inlineStr">
        <is>
          <t>Frequency</t>
        </is>
      </c>
      <c r="D2" t="inlineStr">
        <is>
          <t>Percentage</t>
        </is>
      </c>
      <c r="E2" t="inlineStr">
        <is>
          <t>DiabetesRate_Pct</t>
        </is>
      </c>
    </row>
    <row r="3">
      <c r="A3" t="n">
        <v>0</v>
      </c>
      <c r="B3" t="inlineStr">
        <is>
          <t>No Healthcare</t>
        </is>
      </c>
      <c r="C3" t="n">
        <v>12389</v>
      </c>
      <c r="D3" t="n">
        <v>5.4</v>
      </c>
      <c r="E3" t="n">
        <v>11.48</v>
      </c>
    </row>
    <row r="4">
      <c r="A4" t="n">
        <v>1</v>
      </c>
      <c r="B4" t="inlineStr">
        <is>
          <t>Healthcare</t>
        </is>
      </c>
      <c r="C4" t="n">
        <v>217085</v>
      </c>
      <c r="D4" t="n">
        <v>94.59999999999999</v>
      </c>
      <c r="E4" t="n">
        <v>15.51</v>
      </c>
    </row>
    <row r="7">
      <c r="A7">
        <f>== DOCTOR AVOIDANCE DUE TO COST VS DIABETES ===</f>
        <v/>
      </c>
    </row>
    <row r="8">
      <c r="A8" t="inlineStr">
        <is>
          <t>NoDocbcCost</t>
        </is>
      </c>
      <c r="B8" t="inlineStr">
        <is>
          <t>CostBarrier_Label</t>
        </is>
      </c>
      <c r="C8" t="inlineStr">
        <is>
          <t>Frequency</t>
        </is>
      </c>
      <c r="D8" t="inlineStr">
        <is>
          <t>Percentage</t>
        </is>
      </c>
      <c r="E8" t="inlineStr">
        <is>
          <t>DiabetesRate_Pct</t>
        </is>
      </c>
    </row>
    <row r="9">
      <c r="A9" t="n">
        <v>0</v>
      </c>
      <c r="B9" t="inlineStr">
        <is>
          <t>No Cost Barrier</t>
        </is>
      </c>
      <c r="C9" t="n">
        <v>208151</v>
      </c>
      <c r="D9" t="n">
        <v>90.70999999999999</v>
      </c>
      <c r="E9" t="n">
        <v>15.06</v>
      </c>
    </row>
    <row r="10">
      <c r="A10" t="n">
        <v>1</v>
      </c>
      <c r="B10" t="inlineStr">
        <is>
          <t>Cost Barrier</t>
        </is>
      </c>
      <c r="C10" t="n">
        <v>21323</v>
      </c>
      <c r="D10" t="n">
        <v>9.289999999999999</v>
      </c>
      <c r="E10" t="n">
        <v>17.55</v>
      </c>
    </row>
    <row r="13">
      <c r="A13">
        <f>== CHOLESTEROL CHECK VS DIABETES ===</f>
        <v/>
      </c>
    </row>
    <row r="14">
      <c r="A14" t="inlineStr">
        <is>
          <t>CholCheck</t>
        </is>
      </c>
      <c r="B14" t="inlineStr">
        <is>
          <t>CholCheck_Label</t>
        </is>
      </c>
      <c r="C14" t="inlineStr">
        <is>
          <t>Frequency</t>
        </is>
      </c>
      <c r="D14" t="inlineStr">
        <is>
          <t>Percentage</t>
        </is>
      </c>
      <c r="E14" t="inlineStr">
        <is>
          <t>DiabetesRate_Pct</t>
        </is>
      </c>
    </row>
    <row r="15">
      <c r="A15" t="n">
        <v>0</v>
      </c>
      <c r="B15" t="inlineStr">
        <is>
          <t>No Chol Check</t>
        </is>
      </c>
      <c r="C15" t="n">
        <v>9298</v>
      </c>
      <c r="D15" t="n">
        <v>4.05</v>
      </c>
      <c r="E15" t="n">
        <v>2.59</v>
      </c>
    </row>
    <row r="16">
      <c r="A16" t="n">
        <v>1</v>
      </c>
      <c r="B16" t="inlineStr">
        <is>
          <t>Chol Check</t>
        </is>
      </c>
      <c r="C16" t="n">
        <v>220176</v>
      </c>
      <c r="D16" t="n">
        <v>95.95</v>
      </c>
      <c r="E16" t="n">
        <v>15.83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Diabetes_binary</t>
        </is>
      </c>
      <c r="B1" t="inlineStr">
        <is>
          <t>Mean_BMI</t>
        </is>
      </c>
      <c r="C1" t="inlineStr">
        <is>
          <t>StdDev_BMI</t>
        </is>
      </c>
      <c r="D1" t="inlineStr">
        <is>
          <t>Min_BMI</t>
        </is>
      </c>
      <c r="E1" t="inlineStr">
        <is>
          <t>Max_BMI</t>
        </is>
      </c>
    </row>
    <row r="2">
      <c r="A2" t="n">
        <v>0</v>
      </c>
      <c r="B2" t="n">
        <v>28.09585496226405</v>
      </c>
      <c r="C2" t="n">
        <v>6.503252211594423</v>
      </c>
      <c r="D2" t="n">
        <v>12</v>
      </c>
      <c r="E2" t="n">
        <v>98</v>
      </c>
    </row>
    <row r="3">
      <c r="A3" t="n">
        <v>1</v>
      </c>
      <c r="B3" t="n">
        <v>31.96424195800211</v>
      </c>
      <c r="C3" t="n">
        <v>7.380385192118026</v>
      </c>
      <c r="D3" t="n">
        <v>13</v>
      </c>
      <c r="E3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>
        <f>== PHYSICAL HEALTH DAYS STATISTICS BY DIABETES ===</f>
        <v/>
      </c>
    </row>
    <row r="2">
      <c r="A2" t="inlineStr">
        <is>
          <t>Diabetes_binary</t>
        </is>
      </c>
      <c r="B2" t="inlineStr">
        <is>
          <t>Mean_PhysHlth</t>
        </is>
      </c>
      <c r="C2" t="inlineStr">
        <is>
          <t>StdDev_PhysHlth</t>
        </is>
      </c>
      <c r="D2" t="inlineStr">
        <is>
          <t>Min_PhysHlth</t>
        </is>
      </c>
      <c r="E2" t="inlineStr">
        <is>
          <t>Max_PhysHlth</t>
        </is>
      </c>
    </row>
    <row r="3">
      <c r="A3" t="n">
        <v>0</v>
      </c>
      <c r="B3" t="n">
        <v>4.080441616034819</v>
      </c>
      <c r="C3" t="n">
        <v>8.438609478346224</v>
      </c>
      <c r="D3" t="n">
        <v>0</v>
      </c>
      <c r="E3" t="n">
        <v>30</v>
      </c>
    </row>
    <row r="4">
      <c r="A4" t="n">
        <v>1</v>
      </c>
      <c r="B4" t="n">
        <v>8.008490754195515</v>
      </c>
      <c r="C4" t="n">
        <v>11.32065920162697</v>
      </c>
      <c r="D4" t="n">
        <v>0</v>
      </c>
      <c r="E4" t="n">
        <v>30</v>
      </c>
    </row>
    <row r="7">
      <c r="A7">
        <f>== MENTAL HEALTH DAYS STATISTICS BY DIABETES ===</f>
        <v/>
      </c>
    </row>
    <row r="8">
      <c r="A8" t="inlineStr">
        <is>
          <t>Diabetes_binary</t>
        </is>
      </c>
      <c r="B8" t="inlineStr">
        <is>
          <t>Mean_MentHlth</t>
        </is>
      </c>
      <c r="C8" t="inlineStr">
        <is>
          <t>StdDev_MentHlth</t>
        </is>
      </c>
      <c r="D8" t="inlineStr">
        <is>
          <t>Min_MentHlth</t>
        </is>
      </c>
      <c r="E8" t="inlineStr">
        <is>
          <t>Max_MentHlth</t>
        </is>
      </c>
    </row>
    <row r="9">
      <c r="A9" t="n">
        <v>0</v>
      </c>
      <c r="B9" t="n">
        <v>3.332276966925099</v>
      </c>
      <c r="C9" t="n">
        <v>7.455052590722204</v>
      </c>
      <c r="D9" t="n">
        <v>0</v>
      </c>
      <c r="E9" t="n">
        <v>30</v>
      </c>
    </row>
    <row r="10">
      <c r="A10" t="n">
        <v>1</v>
      </c>
      <c r="B10" t="n">
        <v>4.493403994643417</v>
      </c>
      <c r="C10" t="n">
        <v>8.971500737301008</v>
      </c>
      <c r="D10" t="n">
        <v>0</v>
      </c>
      <c r="E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2026-07-09T08:19:38Z</dcterms:created>
  <dcterms:modified xsi:type="dcterms:W3CDTF">2026-07-09T08:19:38Z</dcterms:modified>
</cp:coreProperties>
</file>